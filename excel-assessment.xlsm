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Raj\Downloads\MapUp-DA-Assessment-2024-main\MapUp-DA-Assessment-2024-main\"/>
    </mc:Choice>
  </mc:AlternateContent>
  <bookViews>
    <workbookView xWindow="0" yWindow="0" windowWidth="24000" windowHeight="975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3" i="20"/>
  <c r="H10" i="19"/>
  <c r="C5" i="15"/>
  <c r="F7" i="18" l="1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29" i="18" l="1"/>
  <c r="D29" i="18"/>
  <c r="B30" i="18"/>
  <c r="B28" i="18"/>
  <c r="C30" i="18"/>
  <c r="E30" i="18"/>
  <c r="D30" i="18"/>
  <c r="E29" i="18"/>
  <c r="C29" i="18"/>
  <c r="E28" i="18"/>
  <c r="F30" i="18"/>
  <c r="D28" i="18"/>
  <c r="F28" i="18"/>
  <c r="C28" i="18"/>
  <c r="B29" i="18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<sst xmlns="http://schemas.openxmlformats.org/spreadsheetml/2006/main" count="407" uniqueCount="184">
  <si>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</si>
  <si>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</si>
  <si>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</si>
  <si>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</si>
  <si>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</si>
  <si>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</si>
  <si>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</si>
  <si>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</si>
  <si>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</si>
  <si>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</si>
  <si>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</si>
  <si>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</si>
  <si>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</si>
  <si>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</si>
  <si>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</si>
  <si>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</si>
  <si>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</si>
  <si>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</si>
  <si>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</si>
  <si>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</si>
  <si>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</si>
  <si>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</si>
  <si>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</si>
  <si>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</si>
  <si>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</si>
  <si>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</si>
  <si>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</si>
  <si>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</si>
  <si>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</si>
  <si>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</si>
  <si>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</si>
  <si>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</si>
  <si>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</si>
  <si>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</si>
  <si>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</si>
  <si>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</si>
  <si>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</si>
  <si>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</si>
  <si>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</si>
  <si>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</si>
  <si>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</si>
  <si>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</si>
  <si>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</si>
  <si>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</si>
  <si>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</si>
  <si>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</si>
  <si>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</si>
  <si>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</si>
  <si>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</si>
  <si>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</si>
  <si>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</si>
  <si>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</si>
  <si>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</si>
  <si>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</si>
  <si>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</si>
  <si>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</si>
  <si>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</si>
  <si>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</si>
  <si>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</si>
  <si>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</si>
  <si>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</si>
  <si>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</si>
  <si>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</si>
  <si>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</si>
  <si>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</si>
  <si>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</si>
  <si>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</si>
  <si>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</si>
  <si>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</si>
  <si>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</si>
  <si>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</si>
  <si>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</si>
  <si>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</si>
  <si>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</si>
  <si>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</si>
  <si>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</si>
  <si>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</si>
  <si>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</si>
  <si>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</si>
  <si>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</si>
  <si>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</si>
  <si>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</si>
  <si>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</si>
  <si>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</si>
  <si>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</si>
  <si>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</si>
  <si>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</si>
  <si>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</si>
  <si>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</si>
  <si>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</si>
  <si>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</si>
  <si>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</si>
  <si>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</si>
  <si>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</si>
  <si>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</si>
  <si>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</si>
  <si>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</si>
  <si>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</si>
  <si>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</si>
  <si>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</si>
  <si>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</si>
  <si>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</si>
  <si>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</si>
  <si>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</si>
  <si>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</si>
  <si>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</si>
  <si>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</si>
  <si>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</si>
  <si>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</si>
  <si>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</si>
  <si>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</si>
  <si>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</si>
  <si>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</si>
  <si>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</si>
  <si>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</si>
  <si>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</si>
  <si>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</si>
  <si>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</si>
  <si>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</si>
  <si>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</si>
  <si>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</si>
  <si>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</si>
  <si>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</si>
  <si>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</si>
  <si>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</si>
  <si>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</si>
  <si>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</si>
  <si>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</si>
  <si>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</si>
  <si>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</si>
  <si>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</si>
  <si>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</si>
  <si>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</si>
  <si>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</si>
  <si>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</si>
  <si>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</si>
  <si>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</si>
  <si>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</si>
  <si>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</si>
  <si>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</si>
  <si>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</si>
  <si>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</si>
  <si>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</si>
  <si>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</si>
  <si>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</si>
  <si>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</si>
  <si>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</si>
  <si>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</si>
  <si>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</si>
  <si>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</si>
  <si>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</si>
  <si>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</si>
  <si>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</si>
  <si>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</si>
  <si>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</si>
  <si>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</si>
  <si>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</si>
  <si>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</si>
  <si>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</si>
  <si>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</si>
  <si>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</si>
  <si>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</si>
  <si>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</si>
  <si>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</si>
  <si>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</si>
  <si>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</si>
  <si>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</si>
  <si>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</si>
  <si>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</si>
  <si>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</si>
  <si>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</si>
  <si>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</si>
  <si>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</si>
  <si>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</si>
  <si>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</si>
  <si>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</si>
  <si>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</si>
  <si>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text to columns we can split the columns with the help of "-"</t>
  </si>
  <si>
    <t xml:space="preserve">using the text to columns we can split the column with the help of "-" we can use the values column to split the values in it and put the values in the next columns </t>
  </si>
  <si>
    <t>Column1</t>
  </si>
  <si>
    <t>SUM(IFERROR(C12:C21, 20))</t>
  </si>
  <si>
    <t>using this formula im able to sum values that do not have erros and sum 20 if error</t>
  </si>
  <si>
    <t>INDEX(Table2[#All], MATCH(VLOOKUP(Table4[name_1], Table3, 2, FALSE), Table2[#Headers], 0), MATCH(VLOOKUP(Table4[name_2], Table3, 2, FALSE), Table2[[#All],[Column1]], 0))</t>
  </si>
  <si>
    <t>using this formula I am able to connect all the tables together and able to get the value that is required in the value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</si>
</sst>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  <xf numFmtId="0" fontId="7" fillId="0" borderId="6" xfId="0" applyFont="1" applyBorder="1"/>
    <xf numFmtId="0" fontId="7" fillId="0" borderId="4" xfId="0" applyFont="1" applyBorder="1"/>
    <xf numFmtId="0" fontId="3" fillId="0" borderId="0" xfId="0" applyFont="1" applyBorder="1"/>
    <xf numFmtId="165" fontId="3" fillId="0" borderId="11" xfId="0" applyNumberFormat="1" applyFont="1" applyBorder="1"/>
    <xf numFmtId="0" fontId="3" fillId="0" borderId="9" xfId="0" applyNumberFormat="1" applyFont="1" applyBorder="1"/>
    <xf numFmtId="165" fontId="3" fillId="0" borderId="6" xfId="0" applyNumberFormat="1" applyFont="1" applyBorder="1"/>
    <xf numFmtId="165" fontId="3" fillId="0" borderId="12" xfId="0" applyNumberFormat="1" applyFont="1" applyBorder="1"/>
    <xf numFmtId="0" fontId="3" fillId="0" borderId="13" xfId="0" applyFont="1" applyBorder="1"/>
    <xf numFmtId="0" fontId="3" fillId="0" borderId="14" xfId="0" applyNumberFormat="1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yyyy\-mm\-d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2"/>
      <tableStyleElement type="headerRow" dxfId="6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X40" totalsRowShown="0" headerRowDxfId="56" dataDxfId="55">
  <autoFilter ref="A1:X40"/>
  <tableColumns count="24">
    <tableColumn id="1" name="name" dataDxfId="54"/>
    <tableColumn id="2" name="ID" dataDxfId="53"/>
    <tableColumn id="3" name="start_day" dataDxfId="52"/>
    <tableColumn id="4" name="start_time" dataDxfId="51"/>
    <tableColumn id="5" name="end_day" dataDxfId="50"/>
    <tableColumn id="6" name="end_time" dataDxfId="49"/>
    <tableColumn id="7" name="car1" dataDxfId="48"/>
    <tableColumn id="8" name="car2" dataDxfId="47"/>
    <tableColumn id="9" name="car3" dataDxfId="46"/>
    <tableColumn id="10" name="moto1" dataDxfId="45"/>
    <tableColumn id="11" name="moto2" dataDxfId="44"/>
    <tableColumn id="12" name="moto3" dataDxfId="43"/>
    <tableColumn id="13" name="bus1" dataDxfId="42"/>
    <tableColumn id="14" name="bus2" dataDxfId="41"/>
    <tableColumn id="15" name="bus3" dataDxfId="40"/>
    <tableColumn id="16" name="rv1" dataDxfId="39"/>
    <tableColumn id="17" name="rv2" dataDxfId="38"/>
    <tableColumn id="18" name="rv3" dataDxfId="37"/>
    <tableColumn id="19" name="truck1" dataDxfId="36"/>
    <tableColumn id="20" name="truck2" dataDxfId="35"/>
    <tableColumn id="21" name="taxi1" dataDxfId="34"/>
    <tableColumn id="22" name="taxi2" dataDxfId="33"/>
    <tableColumn id="23" name="taxi3" dataDxfId="32"/>
    <tableColumn id="24" name="date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A11:C21" totalsRowShown="0" headerRowBorderDxfId="30" tableBorderDxfId="29" totalsRowBorderDxfId="28">
  <autoFilter ref="A11:C21"/>
  <tableColumns count="3">
    <tableColumn id="1" name="Date" dataDxfId="27"/>
    <tableColumn id="2" name="Product" dataDxfId="26"/>
    <tableColumn id="3" name="Sales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9:J18" totalsRowShown="0" headerRowDxfId="24" dataDxfId="22" headerRowBorderDxfId="23" tableBorderDxfId="21" totalsRowBorderDxfId="20">
  <autoFilter ref="A9:J18"/>
  <tableColumns count="10">
    <tableColumn id="1" name="Column1" dataDxfId="19"/>
    <tableColumn id="2" name="A" dataDxfId="18"/>
    <tableColumn id="3" name="B" dataDxfId="17"/>
    <tableColumn id="4" name="C" dataDxfId="16"/>
    <tableColumn id="5" name="D" dataDxfId="15"/>
    <tableColumn id="6" name="E" dataDxfId="14"/>
    <tableColumn id="7" name="F" dataDxfId="13"/>
    <tableColumn id="8" name="G" dataDxfId="12"/>
    <tableColumn id="9" name="H" dataDxfId="11"/>
    <tableColumn id="10" name="I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M9:N18" totalsRowShown="0" headerRowDxfId="9" headerRowBorderDxfId="8" tableBorderDxfId="7">
  <autoFilter ref="M9:N18"/>
  <tableColumns count="2">
    <tableColumn id="1" name="ID" dataDxfId="6"/>
    <tableColumn id="2" name="Nam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22:B35" totalsRowShown="0" headerRowDxfId="4" headerRowBorderDxfId="3" tableBorderDxfId="2">
  <autoFilter ref="A22:B35"/>
  <tableColumns count="2">
    <tableColumn id="1" name="name_1" dataDxfId="1"/>
    <tableColumn id="2" name="name_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="115" zoomScaleNormal="115" workbookViewId="0"/>
  </sheetViews>
  <sheetFormatPr defaultColWidth="11" defaultRowHeight="12.75" x14ac:dyDescent="0.2"/>
  <cols>
    <col min="1" max="1" width="135.83203125" style="2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5" t="s">
        <v>170</v>
      </c>
      <c r="B9" s="26" t="s">
        <v>168</v>
      </c>
    </row>
    <row r="10" spans="1:3" x14ac:dyDescent="0.2">
      <c r="A10" s="34" t="s">
        <v>171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L1" zoomScale="85" zoomScaleNormal="85" workbookViewId="0">
      <pane ySplit="1" topLeftCell="A8" activePane="bottomLeft" state="frozen"/>
      <selection pane="bottomLeft" activeCell="AH22" sqref="AH2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3.1640625" style="1" customWidth="1"/>
    <col min="4" max="4" width="14.33203125" style="24" customWidth="1"/>
    <col min="5" max="5" width="12.5" style="1" customWidth="1"/>
    <col min="6" max="6" width="13.6640625" style="24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0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 A41:A1048576">
    <cfRule type="duplicateValues" dxfId="60" priority="5"/>
  </conditionalFormatting>
  <conditionalFormatting sqref="B1 B41:B1048576">
    <cfRule type="duplicateValues" dxfId="59" priority="4"/>
  </conditionalFormatting>
  <conditionalFormatting sqref="A2:C40 E2:X40">
    <cfRule type="cellIs" dxfId="58" priority="2" operator="equal">
      <formula>-1</formula>
    </cfRule>
    <cfRule type="cellIs" dxfId="57" priority="1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8" style="1" customWidth="1"/>
    <col min="3" max="3" width="35.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SUMIF(Dataset!H:H, "&gt;20" 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163</v>
      </c>
    </row>
    <row r="2" spans="1:7" s="40" customFormat="1" ht="21" x14ac:dyDescent="0.35">
      <c r="B2" s="40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 Dataset!1:40, 7,FALSE )</f>
        <v>2.7</v>
      </c>
      <c r="C6" s="12">
        <f>VLOOKUP(A6, Dataset!1:40, 13, FALSE)</f>
        <v>5.3</v>
      </c>
      <c r="D6" s="12">
        <f>VLOOKUP(A6, Dataset!1:40, 18,FALSE)</f>
        <v>4.2</v>
      </c>
      <c r="E6" s="12">
        <f>VLOOKUP(A6, Dataset!1:40, 20,FALSE)</f>
        <v>8.9</v>
      </c>
      <c r="F6" s="8">
        <f>VLOOKUP(A6, Dataset!1:40, 22,FALSE)</f>
        <v>4.2</v>
      </c>
    </row>
    <row r="7" spans="1:7" ht="15" x14ac:dyDescent="0.25">
      <c r="A7" s="7" t="s">
        <v>4</v>
      </c>
      <c r="B7" s="12">
        <f>VLOOKUP(A7, Dataset!2:41, 7,FALSE )</f>
        <v>2.7</v>
      </c>
      <c r="C7" s="12">
        <f>VLOOKUP(A7, Dataset!2:41, 13, FALSE)</f>
        <v>5.3</v>
      </c>
      <c r="D7" s="12">
        <f>VLOOKUP(A7, Dataset!2:41, 18,FALSE)</f>
        <v>4.2</v>
      </c>
      <c r="E7" s="12">
        <f>VLOOKUP(A7, Dataset!2:41, 20,FALSE)</f>
        <v>8.9</v>
      </c>
      <c r="F7" s="8">
        <f>VLOOKUP(A7, Dataset!2:41, 22,FALSE)</f>
        <v>4.2</v>
      </c>
    </row>
    <row r="8" spans="1:7" ht="15" x14ac:dyDescent="0.25">
      <c r="A8" s="7" t="s">
        <v>7</v>
      </c>
      <c r="B8" s="12">
        <f>VLOOKUP(A8, Dataset!3:42, 7,FALSE )</f>
        <v>3.6</v>
      </c>
      <c r="C8" s="12">
        <f>VLOOKUP(A8, Dataset!3:42, 13, FALSE)</f>
        <v>7.6</v>
      </c>
      <c r="D8" s="12">
        <f>VLOOKUP(A8, Dataset!3:42, 18,FALSE)</f>
        <v>5.8</v>
      </c>
      <c r="E8" s="12">
        <f>VLOOKUP(A8, Dataset!3:42, 20,FALSE)</f>
        <v>12.2</v>
      </c>
      <c r="F8" s="8">
        <f>VLOOKUP(A8, Dataset!3:42, 22,FALSE)</f>
        <v>5.8</v>
      </c>
    </row>
    <row r="9" spans="1:7" ht="15" x14ac:dyDescent="0.25">
      <c r="A9" s="7" t="s">
        <v>8</v>
      </c>
      <c r="B9" s="12">
        <f>VLOOKUP(A9, Dataset!4:43, 7,FALSE )</f>
        <v>4.9000000000000004</v>
      </c>
      <c r="C9" s="12">
        <f>VLOOKUP(A9, Dataset!4:43, 13, FALSE)</f>
        <v>10</v>
      </c>
      <c r="D9" s="12">
        <f>VLOOKUP(A9, Dataset!4:43, 18,FALSE)</f>
        <v>8.1</v>
      </c>
      <c r="E9" s="12">
        <f>VLOOKUP(A9, Dataset!4:43, 20,FALSE)</f>
        <v>17</v>
      </c>
      <c r="F9" s="8">
        <f>VLOOKUP(A9, Dataset!4:43, 22,FALSE)</f>
        <v>8.1</v>
      </c>
    </row>
    <row r="10" spans="1:7" ht="15" x14ac:dyDescent="0.25">
      <c r="A10" s="7" t="s">
        <v>11</v>
      </c>
      <c r="B10" s="12">
        <f>VLOOKUP(A10, Dataset!5:44, 7,FALSE )</f>
        <v>9.4</v>
      </c>
      <c r="C10" s="12">
        <f>VLOOKUP(A10, Dataset!5:44, 13, FALSE)</f>
        <v>19.2</v>
      </c>
      <c r="D10" s="12">
        <f>VLOOKUP(A10, Dataset!5:44, 18,FALSE)</f>
        <v>16.100000000000001</v>
      </c>
      <c r="E10" s="12">
        <f>VLOOKUP(A10, Dataset!5:44, 20,FALSE)</f>
        <v>32.799999999999997</v>
      </c>
      <c r="F10" s="8">
        <f>VLOOKUP(A10, Dataset!5:44, 22,FALSE)</f>
        <v>16.100000000000001</v>
      </c>
    </row>
    <row r="11" spans="1:7" ht="15" x14ac:dyDescent="0.25">
      <c r="A11" s="7" t="s">
        <v>12</v>
      </c>
      <c r="B11" s="12">
        <f>VLOOKUP(A11, Dataset!6:45, 7,FALSE )</f>
        <v>11.6</v>
      </c>
      <c r="C11" s="12">
        <f>VLOOKUP(A11, Dataset!6:45, 13, FALSE)</f>
        <v>23.6</v>
      </c>
      <c r="D11" s="12">
        <f>VLOOKUP(A11, Dataset!6:45, 18,FALSE)</f>
        <v>21.3</v>
      </c>
      <c r="E11" s="12">
        <f>VLOOKUP(A11, Dataset!6:45, 20,FALSE)</f>
        <v>43</v>
      </c>
      <c r="F11" s="8">
        <f>VLOOKUP(A11, Dataset!6:45, 22,FALSE)</f>
        <v>21.3</v>
      </c>
    </row>
    <row r="12" spans="1:7" ht="15" x14ac:dyDescent="0.25">
      <c r="A12" s="7" t="s">
        <v>14</v>
      </c>
      <c r="B12" s="12">
        <f>VLOOKUP(A12, Dataset!7:46, 7,FALSE )</f>
        <v>18.399999999999999</v>
      </c>
      <c r="C12" s="12">
        <f>VLOOKUP(A12, Dataset!7:46, 13, FALSE)</f>
        <v>37.200000000000003</v>
      </c>
      <c r="D12" s="12">
        <f>VLOOKUP(A12, Dataset!7:46, 18,FALSE)</f>
        <v>33.799999999999997</v>
      </c>
      <c r="E12" s="12">
        <f>VLOOKUP(A12, Dataset!7:46, 20,FALSE)</f>
        <v>67.900000000000006</v>
      </c>
      <c r="F12" s="8">
        <f>VLOOKUP(A12, Dataset!7:46, 22,FALSE)</f>
        <v>33.799999999999997</v>
      </c>
    </row>
    <row r="13" spans="1:7" ht="15" x14ac:dyDescent="0.25">
      <c r="A13" s="7" t="s">
        <v>15</v>
      </c>
      <c r="B13" s="12">
        <f>VLOOKUP(A13, Dataset!8:47, 7,FALSE )</f>
        <v>0</v>
      </c>
      <c r="C13" s="12">
        <f>VLOOKUP(A13, Dataset!8:47, 13, FALSE)</f>
        <v>0</v>
      </c>
      <c r="D13" s="12">
        <f>VLOOKUP(A13, Dataset!8:47, 18,FALSE)</f>
        <v>0</v>
      </c>
      <c r="E13" s="12">
        <f>VLOOKUP(A13, Dataset!8:47, 20,FALSE)</f>
        <v>0</v>
      </c>
      <c r="F13" s="8">
        <f>VLOOKUP(A13, Dataset!8:47, 22,FALSE)</f>
        <v>0</v>
      </c>
    </row>
    <row r="14" spans="1:7" ht="15" x14ac:dyDescent="0.25">
      <c r="A14" s="7" t="s">
        <v>16</v>
      </c>
      <c r="B14" s="12">
        <f>VLOOKUP(A14, Dataset!9:48, 7,FALSE )</f>
        <v>21.9</v>
      </c>
      <c r="C14" s="12">
        <f>VLOOKUP(A14, Dataset!9:48, 13, FALSE)</f>
        <v>42.3</v>
      </c>
      <c r="D14" s="12">
        <f>VLOOKUP(A14, Dataset!9:48, 18,FALSE)</f>
        <v>40.1</v>
      </c>
      <c r="E14" s="12">
        <f>VLOOKUP(A14, Dataset!9:48, 20,FALSE)</f>
        <v>76.599999999999994</v>
      </c>
      <c r="F14" s="8">
        <f>VLOOKUP(A14, Dataset!9:48, 22,FALSE)</f>
        <v>40.1</v>
      </c>
    </row>
    <row r="15" spans="1:7" ht="15" x14ac:dyDescent="0.25">
      <c r="A15" s="7" t="s">
        <v>18</v>
      </c>
      <c r="B15" s="12">
        <f>VLOOKUP(A15, Dataset!10:49, 7,FALSE )</f>
        <v>26.8</v>
      </c>
      <c r="C15" s="12">
        <f>VLOOKUP(A15, Dataset!10:49, 13, FALSE)</f>
        <v>54.6</v>
      </c>
      <c r="D15" s="12">
        <f>VLOOKUP(A15, Dataset!10:49, 18,FALSE)</f>
        <v>47.9</v>
      </c>
      <c r="E15" s="12">
        <f>VLOOKUP(A15, Dataset!10:49, 20,FALSE)</f>
        <v>96.8</v>
      </c>
      <c r="F15" s="8">
        <f>VLOOKUP(A15, Dataset!10:49, 22,FALSE)</f>
        <v>47.9</v>
      </c>
    </row>
    <row r="16" spans="1:7" ht="15" x14ac:dyDescent="0.25">
      <c r="A16" s="7" t="s">
        <v>20</v>
      </c>
      <c r="B16" s="12">
        <f>VLOOKUP(A16, Dataset!11:50, 7,FALSE )</f>
        <v>28.5</v>
      </c>
      <c r="C16" s="12">
        <f>VLOOKUP(A16, Dataset!11:50, 13, FALSE)</f>
        <v>58.3</v>
      </c>
      <c r="D16" s="12">
        <f>VLOOKUP(A16, Dataset!11:50, 18,FALSE)</f>
        <v>52.3</v>
      </c>
      <c r="E16" s="12">
        <f>VLOOKUP(A16, Dataset!11:50, 20,FALSE)</f>
        <v>106.1</v>
      </c>
      <c r="F16" s="8">
        <f>VLOOKUP(A16, Dataset!11:50, 22,FALSE)</f>
        <v>52.3</v>
      </c>
    </row>
    <row r="17" spans="1:6" ht="15" x14ac:dyDescent="0.25">
      <c r="A17" s="7" t="s">
        <v>22</v>
      </c>
      <c r="B17" s="12">
        <f>VLOOKUP(A17, Dataset!12:51, 7,FALSE )</f>
        <v>30.7</v>
      </c>
      <c r="C17" s="12">
        <f>VLOOKUP(A17, Dataset!12:51, 13, FALSE)</f>
        <v>62.5</v>
      </c>
      <c r="D17" s="12">
        <f>VLOOKUP(A17, Dataset!12:51, 18,FALSE)</f>
        <v>57</v>
      </c>
      <c r="E17" s="12">
        <f>VLOOKUP(A17, Dataset!12:51, 20,FALSE)</f>
        <v>115.1</v>
      </c>
      <c r="F17" s="8">
        <f>VLOOKUP(A17, Dataset!12:51, 22,FALSE)</f>
        <v>57</v>
      </c>
    </row>
    <row r="18" spans="1:6" ht="15" x14ac:dyDescent="0.25">
      <c r="A18" s="7" t="s">
        <v>23</v>
      </c>
      <c r="B18" s="12">
        <f>VLOOKUP(A18, Dataset!13:52, 7,FALSE )</f>
        <v>33.799999999999997</v>
      </c>
      <c r="C18" s="12">
        <f>VLOOKUP(A18, Dataset!13:52, 13, FALSE)</f>
        <v>67.900000000000006</v>
      </c>
      <c r="D18" s="12">
        <f>VLOOKUP(A18, Dataset!13:52, 18,FALSE)</f>
        <v>61.4</v>
      </c>
      <c r="E18" s="12">
        <f>VLOOKUP(A18, Dataset!13:52, 20,FALSE)</f>
        <v>124.4</v>
      </c>
      <c r="F18" s="8">
        <f>VLOOKUP(A18, Dataset!13:52, 22,FALSE)</f>
        <v>61.4</v>
      </c>
    </row>
    <row r="19" spans="1:6" ht="15" x14ac:dyDescent="0.25">
      <c r="A19" s="7" t="s">
        <v>24</v>
      </c>
      <c r="B19" s="12">
        <f>VLOOKUP(A19, Dataset!14:53, 7,FALSE )</f>
        <v>34.700000000000003</v>
      </c>
      <c r="C19" s="12">
        <f>VLOOKUP(A19, Dataset!14:53, 13, FALSE)</f>
        <v>70.8</v>
      </c>
      <c r="D19" s="12">
        <f>VLOOKUP(A19, Dataset!14:53, 18,FALSE)</f>
        <v>63.6</v>
      </c>
      <c r="E19" s="12">
        <f>VLOOKUP(A19, Dataset!14:53, 20,FALSE)</f>
        <v>128.6</v>
      </c>
      <c r="F19" s="8">
        <f>VLOOKUP(A19, Dataset!14:53, 22,FALSE)</f>
        <v>63.6</v>
      </c>
    </row>
    <row r="20" spans="1:6" ht="15" x14ac:dyDescent="0.25">
      <c r="A20" s="7" t="s">
        <v>28</v>
      </c>
      <c r="B20" s="12">
        <f>VLOOKUP(A20, Dataset!15:54, 7,FALSE )</f>
        <v>0</v>
      </c>
      <c r="C20" s="12">
        <f>VLOOKUP(A20, Dataset!15:54, 13, FALSE)</f>
        <v>0</v>
      </c>
      <c r="D20" s="12">
        <f>VLOOKUP(A20, Dataset!15:54, 18,FALSE)</f>
        <v>0</v>
      </c>
      <c r="E20" s="12">
        <f>VLOOKUP(A20, Dataset!15:54, 20,FALSE)</f>
        <v>0</v>
      </c>
      <c r="F20" s="8">
        <f>VLOOKUP(A20, Dataset!15:54, 22,FALSE)</f>
        <v>0</v>
      </c>
    </row>
    <row r="21" spans="1:6" ht="15" x14ac:dyDescent="0.25">
      <c r="A21" s="7" t="s">
        <v>57</v>
      </c>
      <c r="B21" s="12">
        <f>VLOOKUP(A21, Dataset!16:55, 7,FALSE )</f>
        <v>41.3</v>
      </c>
      <c r="C21" s="12">
        <f>VLOOKUP(A21, Dataset!16:55, 13, FALSE)</f>
        <v>83.5</v>
      </c>
      <c r="D21" s="12">
        <f>VLOOKUP(A21, Dataset!16:55, 18,FALSE)</f>
        <v>75</v>
      </c>
      <c r="E21" s="12">
        <f>VLOOKUP(A21, Dataset!16:55, 20,FALSE)</f>
        <v>151.5</v>
      </c>
      <c r="F21" s="8">
        <f>VLOOKUP(A21, Dataset!16:55, 22,FALSE)</f>
        <v>75</v>
      </c>
    </row>
    <row r="22" spans="1:6" ht="15" x14ac:dyDescent="0.25">
      <c r="A22" s="7" t="s">
        <v>58</v>
      </c>
      <c r="B22" s="12">
        <f>VLOOKUP(A22, Dataset!17:56, 7,FALSE )</f>
        <v>-1</v>
      </c>
      <c r="C22" s="12">
        <f>VLOOKUP(A22, Dataset!17:56, 13, FALSE)</f>
        <v>-1</v>
      </c>
      <c r="D22" s="12">
        <f>VLOOKUP(A22, Dataset!17:56, 18,FALSE)</f>
        <v>-1</v>
      </c>
      <c r="E22" s="12">
        <f>VLOOKUP(A22, Dataset!17:56, 20,FALSE)</f>
        <v>-1</v>
      </c>
      <c r="F22" s="8">
        <f>VLOOKUP(A22, Dataset!17:56, 22,FALSE)</f>
        <v>-1</v>
      </c>
    </row>
    <row r="23" spans="1:6" ht="15" x14ac:dyDescent="0.25">
      <c r="A23" s="7" t="s">
        <v>31</v>
      </c>
      <c r="B23" s="12">
        <f>VLOOKUP(A23, Dataset!18:57, 7,FALSE )</f>
        <v>45</v>
      </c>
      <c r="C23" s="12">
        <f>VLOOKUP(A23, Dataset!18:57, 13, FALSE)</f>
        <v>90.9</v>
      </c>
      <c r="D23" s="12">
        <f>VLOOKUP(A23, Dataset!18:57, 18,FALSE)</f>
        <v>79.400000000000006</v>
      </c>
      <c r="E23" s="12">
        <f>VLOOKUP(A23, Dataset!18:57, 20,FALSE)</f>
        <v>160.9</v>
      </c>
      <c r="F23" s="8">
        <f>VLOOKUP(A23, Dataset!18:57, 22,FALSE)</f>
        <v>79.400000000000006</v>
      </c>
    </row>
    <row r="24" spans="1:6" ht="15" x14ac:dyDescent="0.25">
      <c r="A24" s="7" t="s">
        <v>32</v>
      </c>
      <c r="B24" s="12">
        <f>VLOOKUP(A24, Dataset!19:58, 7,FALSE )</f>
        <v>-1</v>
      </c>
      <c r="C24" s="12">
        <f>VLOOKUP(A24, Dataset!19:58, 13, FALSE)</f>
        <v>-1</v>
      </c>
      <c r="D24" s="12">
        <f>VLOOKUP(A24, Dataset!19:58, 18,FALSE)</f>
        <v>-1</v>
      </c>
      <c r="E24" s="12">
        <f>VLOOKUP(A24, Dataset!19:58, 20,FALSE)</f>
        <v>-1</v>
      </c>
      <c r="F24" s="8">
        <f>VLOOKUP(A24, Dataset!19:58, 22,FALSE)</f>
        <v>-1</v>
      </c>
    </row>
    <row r="25" spans="1:6" ht="15" x14ac:dyDescent="0.25">
      <c r="A25" s="7" t="s">
        <v>34</v>
      </c>
      <c r="B25" s="12">
        <f>VLOOKUP(A25, Dataset!20:59, 7,FALSE )</f>
        <v>43.3</v>
      </c>
      <c r="C25" s="12">
        <f>VLOOKUP(A25, Dataset!20:59, 13, FALSE)</f>
        <v>87.6</v>
      </c>
      <c r="D25" s="12">
        <f>VLOOKUP(A25, Dataset!20:59, 18,FALSE)</f>
        <v>79.400000000000006</v>
      </c>
      <c r="E25" s="12">
        <f>VLOOKUP(A25, Dataset!20:59, 20,FALSE)</f>
        <v>160.9</v>
      </c>
      <c r="F25" s="8">
        <f>VLOOKUP(A25, Dataset!20:59, 22,FALSE)</f>
        <v>79.400000000000006</v>
      </c>
    </row>
    <row r="26" spans="1:6" ht="15" x14ac:dyDescent="0.25">
      <c r="A26" s="7" t="s">
        <v>37</v>
      </c>
      <c r="B26" s="12">
        <f>VLOOKUP(A26, Dataset!21:60, 7,FALSE )</f>
        <v>49.1</v>
      </c>
      <c r="C26" s="12">
        <f>VLOOKUP(A26, Dataset!21:60, 13, FALSE)</f>
        <v>99.5</v>
      </c>
      <c r="D26" s="12">
        <f>VLOOKUP(A26, Dataset!21:60, 18,FALSE)</f>
        <v>90.9</v>
      </c>
      <c r="E26" s="12">
        <f>VLOOKUP(A26, Dataset!21:60, 20,FALSE)</f>
        <v>183.5</v>
      </c>
      <c r="F26" s="8">
        <f>VLOOKUP(A26, Dataset!21:60, 22,FALSE)</f>
        <v>90.9</v>
      </c>
    </row>
    <row r="27" spans="1:6" ht="15" x14ac:dyDescent="0.25">
      <c r="A27" s="7" t="s">
        <v>39</v>
      </c>
      <c r="B27" s="12">
        <f>VLOOKUP(A27, Dataset!22:61, 7,FALSE )</f>
        <v>51.8</v>
      </c>
      <c r="C27" s="12">
        <f>VLOOKUP(A27, Dataset!22:61, 13, FALSE)</f>
        <v>104.5</v>
      </c>
      <c r="D27" s="12">
        <f>VLOOKUP(A27, Dataset!22:61, 18,FALSE)</f>
        <v>93.1</v>
      </c>
      <c r="E27" s="12">
        <f>VLOOKUP(A27, Dataset!22:61, 20,FALSE)</f>
        <v>188.1</v>
      </c>
      <c r="F27" s="8">
        <f>VLOOKUP(A27, Dataset!22:61, 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0">MAX(C6:C27)</f>
        <v>104.5</v>
      </c>
      <c r="D29" s="31">
        <f t="shared" si="0"/>
        <v>93.1</v>
      </c>
      <c r="E29" s="31">
        <f t="shared" si="0"/>
        <v>188.1</v>
      </c>
      <c r="F29" s="31">
        <f t="shared" si="0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1">AVERAGE(C6:C27)</f>
        <v>42.209090909090904</v>
      </c>
      <c r="D30" s="31">
        <f t="shared" si="1"/>
        <v>37.800000000000004</v>
      </c>
      <c r="E30" s="31">
        <f t="shared" si="1"/>
        <v>76.418181818181822</v>
      </c>
      <c r="F30" s="31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J14" sqref="J14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2" t="s">
        <v>53</v>
      </c>
      <c r="B5" s="39" t="s">
        <v>177</v>
      </c>
    </row>
    <row r="6" spans="1:10" ht="18.75" x14ac:dyDescent="0.3">
      <c r="A6" s="42" t="s">
        <v>152</v>
      </c>
      <c r="B6" s="39" t="s">
        <v>178</v>
      </c>
    </row>
    <row r="7" spans="1:10" ht="18.75" x14ac:dyDescent="0.3">
      <c r="A7" s="42"/>
      <c r="B7" s="39"/>
    </row>
    <row r="9" spans="1:10" ht="23.25" x14ac:dyDescent="0.35">
      <c r="A9" s="18" t="s">
        <v>164</v>
      </c>
      <c r="I9" s="2"/>
      <c r="J9" s="2"/>
    </row>
    <row r="10" spans="1:10" x14ac:dyDescent="0.25">
      <c r="A10" s="32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zoomScaleNormal="100" workbookViewId="0">
      <selection activeCell="G12" sqref="G12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8" ht="21" x14ac:dyDescent="0.35">
      <c r="A1" s="41" t="s">
        <v>85</v>
      </c>
      <c r="B1" s="40" t="s">
        <v>166</v>
      </c>
    </row>
    <row r="2" spans="1:8" ht="18.75" x14ac:dyDescent="0.3">
      <c r="B2" s="39" t="s">
        <v>165</v>
      </c>
    </row>
    <row r="5" spans="1:8" ht="15" x14ac:dyDescent="0.25">
      <c r="B5" s="1" t="s">
        <v>150</v>
      </c>
    </row>
    <row r="6" spans="1:8" ht="15" x14ac:dyDescent="0.25">
      <c r="A6" s="3" t="s">
        <v>53</v>
      </c>
      <c r="B6" s="1" t="s">
        <v>180</v>
      </c>
    </row>
    <row r="7" spans="1:8" ht="15" x14ac:dyDescent="0.25">
      <c r="A7" s="3" t="s">
        <v>152</v>
      </c>
      <c r="B7" s="1" t="s">
        <v>181</v>
      </c>
    </row>
    <row r="10" spans="1:8" ht="23.25" x14ac:dyDescent="0.35">
      <c r="A10" s="18" t="s">
        <v>161</v>
      </c>
      <c r="H10" s="2">
        <f>SUM(IFERROR(C12:C21, 20))</f>
        <v>20</v>
      </c>
    </row>
    <row r="11" spans="1:8" ht="15" x14ac:dyDescent="0.25">
      <c r="A11" s="58" t="s">
        <v>86</v>
      </c>
      <c r="B11" s="13" t="s">
        <v>87</v>
      </c>
      <c r="C11" s="9" t="s">
        <v>88</v>
      </c>
    </row>
    <row r="12" spans="1:8" ht="15" x14ac:dyDescent="0.25">
      <c r="A12" s="56">
        <v>44927</v>
      </c>
      <c r="B12" s="17" t="s">
        <v>59</v>
      </c>
      <c r="C12" s="57">
        <v>200</v>
      </c>
    </row>
    <row r="13" spans="1:8" ht="15" x14ac:dyDescent="0.25">
      <c r="A13" s="56">
        <v>44928</v>
      </c>
      <c r="B13" s="17" t="s">
        <v>60</v>
      </c>
      <c r="C13" s="57" t="e">
        <v>#N/A</v>
      </c>
    </row>
    <row r="14" spans="1:8" ht="15" x14ac:dyDescent="0.25">
      <c r="A14" s="56">
        <v>44929</v>
      </c>
      <c r="B14" s="17" t="s">
        <v>61</v>
      </c>
      <c r="C14" s="57">
        <v>50</v>
      </c>
    </row>
    <row r="15" spans="1:8" ht="15" x14ac:dyDescent="0.25">
      <c r="A15" s="56">
        <v>44930</v>
      </c>
      <c r="B15" s="17" t="s">
        <v>62</v>
      </c>
      <c r="C15" s="57" t="e">
        <v>#N/A</v>
      </c>
    </row>
    <row r="16" spans="1:8" ht="15" x14ac:dyDescent="0.25">
      <c r="A16" s="56">
        <v>44931</v>
      </c>
      <c r="B16" s="17" t="s">
        <v>63</v>
      </c>
      <c r="C16" s="57">
        <v>10</v>
      </c>
    </row>
    <row r="17" spans="1:3" ht="15" x14ac:dyDescent="0.25">
      <c r="A17" s="56">
        <v>44932</v>
      </c>
      <c r="B17" s="17" t="s">
        <v>153</v>
      </c>
      <c r="C17" s="57">
        <v>150</v>
      </c>
    </row>
    <row r="18" spans="1:3" ht="15" x14ac:dyDescent="0.25">
      <c r="A18" s="56">
        <v>44933</v>
      </c>
      <c r="B18" s="17" t="s">
        <v>154</v>
      </c>
      <c r="C18" s="57">
        <v>80</v>
      </c>
    </row>
    <row r="19" spans="1:3" ht="15" x14ac:dyDescent="0.25">
      <c r="A19" s="56">
        <v>44934</v>
      </c>
      <c r="B19" s="17" t="s">
        <v>155</v>
      </c>
      <c r="C19" s="57" t="e">
        <v>#N/A</v>
      </c>
    </row>
    <row r="20" spans="1:3" ht="15" x14ac:dyDescent="0.25">
      <c r="A20" s="56">
        <v>44935</v>
      </c>
      <c r="B20" s="17" t="s">
        <v>156</v>
      </c>
      <c r="C20" s="57">
        <v>30</v>
      </c>
    </row>
    <row r="21" spans="1:3" ht="15" x14ac:dyDescent="0.25">
      <c r="A21" s="59">
        <v>44936</v>
      </c>
      <c r="B21" s="60" t="s">
        <v>157</v>
      </c>
      <c r="C21" s="61" t="e">
        <v>#N/A</v>
      </c>
    </row>
    <row r="22" spans="1:3" ht="15" x14ac:dyDescent="0.25">
      <c r="B22" s="17" t="s">
        <v>158</v>
      </c>
      <c r="C22" s="25">
        <f>SUM(IFERROR(C12:C21, 20))</f>
        <v>20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I21" sqref="I21"/>
    </sheetView>
  </sheetViews>
  <sheetFormatPr defaultColWidth="11" defaultRowHeight="12.75" x14ac:dyDescent="0.2"/>
  <cols>
    <col min="1" max="1" width="28.1640625" style="2" bestFit="1" customWidth="1"/>
    <col min="2" max="2" width="11.83203125" style="2" customWidth="1"/>
    <col min="3" max="16384" width="11" style="2"/>
  </cols>
  <sheetData>
    <row r="1" spans="1:14" ht="21" x14ac:dyDescent="0.35">
      <c r="A1" s="41" t="s">
        <v>98</v>
      </c>
      <c r="B1" s="40" t="s">
        <v>174</v>
      </c>
    </row>
    <row r="3" spans="1:14" ht="15" x14ac:dyDescent="0.25">
      <c r="B3" s="1" t="s">
        <v>150</v>
      </c>
    </row>
    <row r="4" spans="1:14" ht="18.75" x14ac:dyDescent="0.3">
      <c r="A4" s="42" t="s">
        <v>53</v>
      </c>
      <c r="B4" s="1"/>
      <c r="C4" s="2" t="s">
        <v>182</v>
      </c>
    </row>
    <row r="5" spans="1:14" ht="18.75" x14ac:dyDescent="0.3">
      <c r="A5" s="42" t="s">
        <v>152</v>
      </c>
      <c r="B5" s="1" t="s">
        <v>183</v>
      </c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47" t="s">
        <v>179</v>
      </c>
      <c r="B9" s="48" t="s">
        <v>89</v>
      </c>
      <c r="C9" s="48" t="s">
        <v>90</v>
      </c>
      <c r="D9" s="48" t="s">
        <v>91</v>
      </c>
      <c r="E9" s="48" t="s">
        <v>92</v>
      </c>
      <c r="F9" s="48" t="s">
        <v>93</v>
      </c>
      <c r="G9" s="48" t="s">
        <v>94</v>
      </c>
      <c r="H9" s="48" t="s">
        <v>95</v>
      </c>
      <c r="I9" s="48" t="s">
        <v>96</v>
      </c>
      <c r="J9" s="49" t="s">
        <v>97</v>
      </c>
      <c r="M9" s="53" t="s">
        <v>43</v>
      </c>
      <c r="N9" s="54" t="s">
        <v>99</v>
      </c>
    </row>
    <row r="10" spans="1:14" ht="15" x14ac:dyDescent="0.25">
      <c r="A10" s="4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37">
        <v>525</v>
      </c>
      <c r="M10" s="8">
        <v>10100</v>
      </c>
      <c r="N10" s="7" t="s">
        <v>89</v>
      </c>
    </row>
    <row r="11" spans="1:14" ht="15" x14ac:dyDescent="0.25">
      <c r="A11" s="4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37">
        <v>430</v>
      </c>
      <c r="M11" s="8">
        <v>10102</v>
      </c>
      <c r="N11" s="7" t="s">
        <v>90</v>
      </c>
    </row>
    <row r="12" spans="1:14" ht="15" x14ac:dyDescent="0.25">
      <c r="A12" s="4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37">
        <v>400</v>
      </c>
      <c r="M12" s="8">
        <v>10104</v>
      </c>
      <c r="N12" s="7" t="s">
        <v>91</v>
      </c>
    </row>
    <row r="13" spans="1:14" ht="15" x14ac:dyDescent="0.25">
      <c r="A13" s="4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37">
        <v>340</v>
      </c>
      <c r="M13" s="8">
        <v>10106</v>
      </c>
      <c r="N13" s="7" t="s">
        <v>92</v>
      </c>
    </row>
    <row r="14" spans="1:14" ht="15" x14ac:dyDescent="0.25">
      <c r="A14" s="4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37">
        <v>270</v>
      </c>
      <c r="M14" s="8">
        <v>10108</v>
      </c>
      <c r="N14" s="7" t="s">
        <v>93</v>
      </c>
    </row>
    <row r="15" spans="1:14" ht="15" x14ac:dyDescent="0.25">
      <c r="A15" s="4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37">
        <v>220</v>
      </c>
      <c r="M15" s="8">
        <v>10110</v>
      </c>
      <c r="N15" s="7" t="s">
        <v>94</v>
      </c>
    </row>
    <row r="16" spans="1:14" ht="15" x14ac:dyDescent="0.25">
      <c r="A16" s="4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37">
        <v>105</v>
      </c>
      <c r="M16" s="8">
        <v>10112</v>
      </c>
      <c r="N16" s="7" t="s">
        <v>95</v>
      </c>
    </row>
    <row r="17" spans="1:14" ht="15" x14ac:dyDescent="0.25">
      <c r="A17" s="4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37">
        <v>40</v>
      </c>
      <c r="M17" s="8">
        <v>10114</v>
      </c>
      <c r="N17" s="7" t="s">
        <v>96</v>
      </c>
    </row>
    <row r="18" spans="1:14" ht="15" x14ac:dyDescent="0.25">
      <c r="A18" s="50" t="s">
        <v>97</v>
      </c>
      <c r="B18" s="51">
        <v>525</v>
      </c>
      <c r="C18" s="51">
        <v>430</v>
      </c>
      <c r="D18" s="51">
        <v>400</v>
      </c>
      <c r="E18" s="51">
        <v>340</v>
      </c>
      <c r="F18" s="51">
        <v>270</v>
      </c>
      <c r="G18" s="51">
        <v>220</v>
      </c>
      <c r="H18" s="51">
        <v>105</v>
      </c>
      <c r="I18" s="51">
        <v>40</v>
      </c>
      <c r="J18" s="52">
        <v>-1</v>
      </c>
      <c r="M18" s="8">
        <v>10116</v>
      </c>
      <c r="N18" s="7" t="s">
        <v>97</v>
      </c>
    </row>
    <row r="21" spans="1:14" ht="23.25" x14ac:dyDescent="0.35">
      <c r="A21" s="18" t="s">
        <v>167</v>
      </c>
    </row>
    <row r="22" spans="1:14" ht="15" x14ac:dyDescent="0.25">
      <c r="A22" s="10" t="s">
        <v>100</v>
      </c>
      <c r="B22" s="9" t="s">
        <v>101</v>
      </c>
      <c r="C22" s="16" t="s">
        <v>102</v>
      </c>
    </row>
    <row r="23" spans="1:14" ht="15" x14ac:dyDescent="0.25">
      <c r="A23" s="55">
        <v>10100</v>
      </c>
      <c r="B23" s="7">
        <v>10102</v>
      </c>
      <c r="C23" s="43">
        <f>INDEX(Table2[#All], MATCH(VLOOKUP(Table4[name_1], Table3[], 2, FALSE), Table2[#Headers], 0), MATCH(VLOOKUP(Table4[name_2], Table3[], 2, FALSE), Table2[[#All],[Column1]], 0))</f>
        <v>95</v>
      </c>
    </row>
    <row r="24" spans="1:14" ht="15" x14ac:dyDescent="0.25">
      <c r="A24" s="55">
        <v>10100</v>
      </c>
      <c r="B24" s="7">
        <v>10104</v>
      </c>
      <c r="C24" s="43">
        <f>INDEX(Table2[#All], MATCH(VLOOKUP(Table4[name_1], Table3[], 2, FALSE), Table2[#Headers], 0), MATCH(VLOOKUP(Table4[name_2], Table3[], 2, FALSE), Table2[[#All],[Column1]], 0))</f>
        <v>-1</v>
      </c>
    </row>
    <row r="25" spans="1:14" ht="15" x14ac:dyDescent="0.25">
      <c r="A25" s="55">
        <v>10108</v>
      </c>
      <c r="B25" s="7">
        <v>10102</v>
      </c>
      <c r="C25" s="43">
        <f>INDEX(Table2[#All], MATCH(VLOOKUP(Table4[name_1], Table3[], 2, FALSE), Table2[#Headers], 0), MATCH(VLOOKUP(Table4[name_2], Table3[], 2, FALSE), Table2[[#All],[Column1]], 0))</f>
        <v>160</v>
      </c>
    </row>
    <row r="26" spans="1:14" ht="15" x14ac:dyDescent="0.25">
      <c r="A26" s="55">
        <v>10100</v>
      </c>
      <c r="B26" s="7">
        <v>10106</v>
      </c>
      <c r="C26" s="43">
        <f>INDEX(Table2[#All], MATCH(VLOOKUP(Table4[name_1], Table3[], 2, FALSE), Table2[#Headers], 0), MATCH(VLOOKUP(Table4[name_2], Table3[], 2, FALSE), Table2[[#All],[Column1]], 0))</f>
        <v>185</v>
      </c>
    </row>
    <row r="27" spans="1:14" ht="15" x14ac:dyDescent="0.25">
      <c r="A27" s="55">
        <v>10108</v>
      </c>
      <c r="B27" s="7">
        <v>10110</v>
      </c>
      <c r="C27" s="43">
        <f>INDEX(Table2[#All], MATCH(VLOOKUP(Table4[name_1], Table3[], 2, FALSE), Table2[#Headers], 0), MATCH(VLOOKUP(Table4[name_2], Table3[], 2, FALSE), Table2[[#All],[Column1]], 0))</f>
        <v>50</v>
      </c>
    </row>
    <row r="28" spans="1:14" ht="15" x14ac:dyDescent="0.25">
      <c r="A28" s="55">
        <v>10102</v>
      </c>
      <c r="B28" s="7">
        <v>10104</v>
      </c>
      <c r="C28" s="43">
        <f>INDEX(Table2[#All], MATCH(VLOOKUP(Table4[name_1], Table3[], 2, FALSE), Table2[#Headers], 0), MATCH(VLOOKUP(Table4[name_2], Table3[], 2, FALSE), Table2[[#All],[Column1]], 0))</f>
        <v>-1</v>
      </c>
    </row>
    <row r="29" spans="1:14" ht="15" x14ac:dyDescent="0.25">
      <c r="A29" s="55">
        <v>10106</v>
      </c>
      <c r="B29" s="7">
        <v>10108</v>
      </c>
      <c r="C29" s="43">
        <f>INDEX(Table2[#All], MATCH(VLOOKUP(Table4[name_1], Table3[], 2, FALSE), Table2[#Headers], 0), MATCH(VLOOKUP(Table4[name_2], Table3[], 2, FALSE), Table2[[#All],[Column1]], 0))</f>
        <v>70</v>
      </c>
    </row>
    <row r="30" spans="1:14" ht="15" x14ac:dyDescent="0.25">
      <c r="A30" s="55">
        <v>10102</v>
      </c>
      <c r="B30" s="7">
        <v>10106</v>
      </c>
      <c r="C30" s="43">
        <f>INDEX(Table2[#All], MATCH(VLOOKUP(Table4[name_1], Table3[], 2, FALSE), Table2[#Headers], 0), MATCH(VLOOKUP(Table4[name_2], Table3[], 2, FALSE), Table2[[#All],[Column1]], 0))</f>
        <v>90</v>
      </c>
    </row>
    <row r="31" spans="1:14" ht="15" x14ac:dyDescent="0.25">
      <c r="A31" s="55">
        <v>10110</v>
      </c>
      <c r="B31" s="7">
        <v>10114</v>
      </c>
      <c r="C31" s="43">
        <f>INDEX(Table2[#All], MATCH(VLOOKUP(Table4[name_1], Table3[], 2, FALSE), Table2[#Headers], 0), MATCH(VLOOKUP(Table4[name_2], Table3[], 2, FALSE), Table2[[#All],[Column1]], 0))</f>
        <v>180</v>
      </c>
    </row>
    <row r="32" spans="1:14" ht="15" x14ac:dyDescent="0.25">
      <c r="A32" s="55">
        <v>10104</v>
      </c>
      <c r="B32" s="7">
        <v>10106</v>
      </c>
      <c r="C32" s="43">
        <f>INDEX(Table2[#All], MATCH(VLOOKUP(Table4[name_1], Table3[], 2, FALSE), Table2[#Headers], 0), MATCH(VLOOKUP(Table4[name_2], Table3[], 2, FALSE), Table2[[#All],[Column1]], 0))</f>
        <v>60</v>
      </c>
    </row>
    <row r="33" spans="1:3" ht="15" x14ac:dyDescent="0.25">
      <c r="A33" s="55">
        <v>10110</v>
      </c>
      <c r="B33" s="7">
        <v>10112</v>
      </c>
      <c r="C33" s="43">
        <f>INDEX(Table2[#All], MATCH(VLOOKUP(Table4[name_1], Table3[], 2, FALSE), Table2[#Headers], 0), MATCH(VLOOKUP(Table4[name_2], Table3[], 2, FALSE), Table2[[#All],[Column1]], 0))</f>
        <v>115</v>
      </c>
    </row>
    <row r="34" spans="1:3" ht="15" x14ac:dyDescent="0.25">
      <c r="A34" s="55">
        <v>10100</v>
      </c>
      <c r="B34" s="7">
        <v>10114</v>
      </c>
      <c r="C34" s="43">
        <f>INDEX(Table2[#All], MATCH(VLOOKUP(Table4[name_1], Table3[], 2, FALSE), Table2[#Headers], 0), MATCH(VLOOKUP(Table4[name_2], Table3[], 2, FALSE), Table2[[#All],[Column1]], 0))</f>
        <v>480</v>
      </c>
    </row>
    <row r="35" spans="1:3" ht="15" x14ac:dyDescent="0.25">
      <c r="A35" s="55">
        <v>10112</v>
      </c>
      <c r="B35" s="7">
        <v>10116</v>
      </c>
      <c r="C35" s="43">
        <f>INDEX(Table2[#All], MATCH(VLOOKUP(Table4[name_1], Table3[], 2, FALSE), Table2[#Headers], 0), MATCH(VLOOKUP(Table4[name_2], Table3[], 2, FALSE), Table2[[#All],[Column1]], 0))</f>
        <v>105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Raj</cp:lastModifiedBy>
  <cp:lastPrinted>2024-10-21T17:15:51Z</cp:lastPrinted>
  <dcterms:created xsi:type="dcterms:W3CDTF">2015-02-10T17:33:11Z</dcterms:created>
  <dcterms:modified xsi:type="dcterms:W3CDTF">2024-10-23T17:34:40Z</dcterms:modified>
</cp:coreProperties>
</file>